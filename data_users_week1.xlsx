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" sheetId="1" r:id="rId4"/>
    <sheet state="visible" name="Calculos" sheetId="2" r:id="rId5"/>
    <sheet state="visible" name="Gráficos" sheetId="3" r:id="rId6"/>
  </sheets>
  <definedNames/>
  <calcPr/>
</workbook>
</file>

<file path=xl/sharedStrings.xml><?xml version="1.0" encoding="utf-8"?>
<sst xmlns="http://schemas.openxmlformats.org/spreadsheetml/2006/main" count="51" uniqueCount="37">
  <si>
    <t>user_id</t>
  </si>
  <si>
    <t>dias_ativo_7d</t>
  </si>
  <si>
    <t>logins_7d</t>
  </si>
  <si>
    <t>fez_transacao</t>
  </si>
  <si>
    <t>Média</t>
  </si>
  <si>
    <t>Mediana</t>
  </si>
  <si>
    <t>Desvio padrão</t>
  </si>
  <si>
    <t>A média representa bem o usuário típico?</t>
  </si>
  <si>
    <t>Em dias ativos a mediana representa melhor o comportamento, visto que há outliers importantes.</t>
  </si>
  <si>
    <t>Há comportamento muito desigual entre usuários?</t>
  </si>
  <si>
    <t>sim</t>
  </si>
  <si>
    <t>Usuário retido = ativo ≥ 3 dias na primeira semana</t>
  </si>
  <si>
    <t>usuários retidos</t>
  </si>
  <si>
    <t>% de usuários retidos</t>
  </si>
  <si>
    <t>Churn = 1 – retenção</t>
  </si>
  <si>
    <t>O churn é alto ou baixo?</t>
  </si>
  <si>
    <t>Que hipótese de produto isso sugere? (onboarding ruim? valor pouco claro?)</t>
  </si>
  <si>
    <t>Apesar da média de logins ser alta, a mediana é baixa, indicando que poucos usuários muito engajados distorcem a média.</t>
  </si>
  <si>
    <t>Média está mascarando a realidade por distribuição de cauda longa.</t>
  </si>
  <si>
    <t>Ação prática</t>
  </si>
  <si>
    <t>Criar segmentação:</t>
  </si>
  <si>
    <t>Top 10–20% usuários por logins</t>
  </si>
  <si>
    <t>Comparar retenção, churn e conversão deles vs. resto</t>
  </si>
  <si>
    <t>Definir métricas por percentil (p50, p75), não só média.</t>
  </si>
  <si>
    <t>Retenção não garante engajamento profundo</t>
  </si>
  <si>
    <t>Investigar:</t>
  </si>
  <si>
    <t>O que acontece nos dias em que o usuário não entra?</t>
  </si>
  <si>
    <t>Existem gatilhos claros de retorno?</t>
  </si>
  <si>
    <t>Testar:</t>
  </si>
  <si>
    <t>Notificações baseadas em valor (não genéricas)</t>
  </si>
  <si>
    <t>Features que criem uso recorrente diário/semanal</t>
  </si>
  <si>
    <t>Valor capturado por poucos usuários</t>
  </si>
  <si>
    <t>Receita depende de um grupo muito pequeno.</t>
  </si>
  <si>
    <t>Mapear funil:</t>
  </si>
  <si>
    <t>Login → ação-chave → transação</t>
  </si>
  <si>
    <t>Primeira transação guiada (hand-holding)</t>
  </si>
  <si>
    <t>Incentivo claro para o primeiro valor percebido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</si>
</sst>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164" xfId="0" applyFont="1" applyNumberFormat="1"/>
    <xf borderId="0" fillId="0" fontId="2" numFmtId="0" xfId="0" applyAlignment="1" applyFont="1">
      <alignment horizontal="center" readingOrder="0"/>
    </xf>
    <xf borderId="0" fillId="0" fontId="2" numFmtId="0" xfId="0" applyFont="1"/>
    <xf borderId="0" fillId="0" fontId="2" numFmtId="9" xfId="0" applyFont="1" applyNumberFormat="1"/>
    <xf borderId="0" fillId="0" fontId="2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logins_7d versus user_id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Dados!$C$1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Dados!$A$2:$A$21</c:f>
            </c:strRef>
          </c:cat>
          <c:val>
            <c:numRef>
              <c:f>Dados!$C$2:$C$21</c:f>
              <c:numCache/>
            </c:numRef>
          </c:val>
        </c:ser>
        <c:axId val="255989923"/>
        <c:axId val="1715322083"/>
      </c:barChart>
      <c:catAx>
        <c:axId val="2559899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user_id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5322083"/>
      </c:catAx>
      <c:valAx>
        <c:axId val="17153220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logins_7d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59899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dias_ativo_7d, logins_7d e fez_transacao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Dados!$B$1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Dados!$A$2:$A$21</c:f>
            </c:strRef>
          </c:cat>
          <c:val>
            <c:numRef>
              <c:f>Dados!$B$2:$B$21</c:f>
              <c:numCache/>
            </c:numRef>
          </c:val>
        </c:ser>
        <c:ser>
          <c:idx val="1"/>
          <c:order val="1"/>
          <c:tx>
            <c:strRef>
              <c:f>Dados!$C$1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Dados!$A$2:$A$21</c:f>
            </c:strRef>
          </c:cat>
          <c:val>
            <c:numRef>
              <c:f>Dados!$C$2:$C$21</c:f>
              <c:numCache/>
            </c:numRef>
          </c:val>
        </c:ser>
        <c:ser>
          <c:idx val="2"/>
          <c:order val="2"/>
          <c:tx>
            <c:strRef>
              <c:f>Dados!$D$1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Dados!$A$2:$A$21</c:f>
            </c:strRef>
          </c:cat>
          <c:val>
            <c:numRef>
              <c:f>Dados!$D$2:$D$21</c:f>
              <c:numCache/>
            </c:numRef>
          </c:val>
        </c:ser>
        <c:axId val="185746759"/>
        <c:axId val="1763669648"/>
      </c:barChart>
      <c:catAx>
        <c:axId val="185746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user_id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3669648"/>
      </c:catAx>
      <c:valAx>
        <c:axId val="17636696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7467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228600</xdr:colOff>
      <xdr:row>0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5.0</v>
      </c>
      <c r="C2" s="2">
        <v>12.0</v>
      </c>
      <c r="D2" s="2">
        <v>1.0</v>
      </c>
    </row>
    <row r="3">
      <c r="A3" s="2">
        <v>2.0</v>
      </c>
      <c r="B3" s="2">
        <v>1.0</v>
      </c>
      <c r="C3" s="2">
        <v>2.0</v>
      </c>
      <c r="D3" s="2">
        <v>0.0</v>
      </c>
    </row>
    <row r="4">
      <c r="A4" s="2">
        <v>3.0</v>
      </c>
      <c r="B4" s="2">
        <v>7.0</v>
      </c>
      <c r="C4" s="2">
        <v>20.0</v>
      </c>
      <c r="D4" s="2">
        <v>1.0</v>
      </c>
    </row>
    <row r="5">
      <c r="A5" s="2">
        <v>4.0</v>
      </c>
      <c r="B5" s="2">
        <v>22.0</v>
      </c>
      <c r="C5" s="2">
        <v>22.0</v>
      </c>
      <c r="D5" s="2">
        <v>0.0</v>
      </c>
    </row>
    <row r="6">
      <c r="A6" s="2">
        <f t="shared" ref="A6:A21" si="1">A5+1</f>
        <v>5</v>
      </c>
      <c r="B6" s="2">
        <v>15.0</v>
      </c>
      <c r="C6" s="2">
        <v>30.0</v>
      </c>
      <c r="D6" s="2">
        <v>1.0</v>
      </c>
    </row>
    <row r="7">
      <c r="A7" s="2">
        <f t="shared" si="1"/>
        <v>6</v>
      </c>
      <c r="B7" s="2">
        <v>18.0</v>
      </c>
      <c r="C7" s="2">
        <v>12.0</v>
      </c>
      <c r="D7" s="2">
        <v>3.0</v>
      </c>
    </row>
    <row r="8">
      <c r="A8" s="2">
        <f t="shared" si="1"/>
        <v>7</v>
      </c>
      <c r="B8" s="2">
        <v>2.0</v>
      </c>
      <c r="C8" s="2">
        <v>2.0</v>
      </c>
      <c r="D8" s="2">
        <v>2.0</v>
      </c>
    </row>
    <row r="9">
      <c r="A9" s="2">
        <f t="shared" si="1"/>
        <v>8</v>
      </c>
      <c r="B9" s="2">
        <v>3.0</v>
      </c>
      <c r="C9" s="2">
        <v>3.0</v>
      </c>
      <c r="D9" s="2">
        <v>1.0</v>
      </c>
    </row>
    <row r="10">
      <c r="A10" s="2">
        <f t="shared" si="1"/>
        <v>9</v>
      </c>
      <c r="B10" s="2">
        <v>6.0</v>
      </c>
      <c r="C10" s="2">
        <v>6.0</v>
      </c>
      <c r="D10" s="2">
        <v>3.0</v>
      </c>
    </row>
    <row r="11">
      <c r="A11" s="2">
        <f t="shared" si="1"/>
        <v>10</v>
      </c>
      <c r="B11" s="2">
        <v>6.0</v>
      </c>
      <c r="C11" s="2">
        <v>9.0</v>
      </c>
      <c r="D11" s="2">
        <v>2.0</v>
      </c>
    </row>
    <row r="12">
      <c r="A12" s="2">
        <f t="shared" si="1"/>
        <v>11</v>
      </c>
      <c r="B12" s="2">
        <v>8.0</v>
      </c>
      <c r="C12" s="2">
        <v>10.0</v>
      </c>
      <c r="D12" s="2">
        <v>2.0</v>
      </c>
    </row>
    <row r="13">
      <c r="A13" s="2">
        <f t="shared" si="1"/>
        <v>12</v>
      </c>
      <c r="B13" s="2">
        <v>8.0</v>
      </c>
      <c r="C13" s="2">
        <v>12.0</v>
      </c>
      <c r="D13" s="2">
        <v>3.0</v>
      </c>
    </row>
    <row r="14">
      <c r="A14" s="2">
        <f t="shared" si="1"/>
        <v>13</v>
      </c>
      <c r="B14" s="2">
        <v>4.0</v>
      </c>
      <c r="C14" s="2">
        <v>4.0</v>
      </c>
      <c r="D14" s="2">
        <v>4.0</v>
      </c>
    </row>
    <row r="15">
      <c r="A15" s="2">
        <f t="shared" si="1"/>
        <v>14</v>
      </c>
      <c r="B15" s="2">
        <v>4.0</v>
      </c>
      <c r="C15" s="2">
        <v>9.0</v>
      </c>
      <c r="D15" s="2">
        <v>1.0</v>
      </c>
    </row>
    <row r="16">
      <c r="A16" s="2">
        <f t="shared" si="1"/>
        <v>15</v>
      </c>
      <c r="B16" s="2">
        <v>71.0</v>
      </c>
      <c r="C16" s="2">
        <v>120.0</v>
      </c>
      <c r="D16" s="2">
        <v>2.0</v>
      </c>
    </row>
    <row r="17">
      <c r="A17" s="2">
        <f t="shared" si="1"/>
        <v>16</v>
      </c>
      <c r="B17" s="2">
        <v>5.0</v>
      </c>
      <c r="C17" s="2">
        <v>7.0</v>
      </c>
      <c r="D17" s="2">
        <v>2.0</v>
      </c>
    </row>
    <row r="18">
      <c r="A18" s="2">
        <f t="shared" si="1"/>
        <v>17</v>
      </c>
      <c r="B18" s="2">
        <v>5.0</v>
      </c>
      <c r="C18" s="2">
        <v>5.0</v>
      </c>
      <c r="D18" s="2">
        <v>3.0</v>
      </c>
    </row>
    <row r="19">
      <c r="A19" s="2">
        <f t="shared" si="1"/>
        <v>18</v>
      </c>
      <c r="B19" s="2">
        <v>2.0</v>
      </c>
      <c r="C19" s="2">
        <v>6.0</v>
      </c>
      <c r="D19" s="2">
        <v>4.0</v>
      </c>
    </row>
    <row r="20">
      <c r="A20" s="2">
        <f t="shared" si="1"/>
        <v>19</v>
      </c>
      <c r="B20" s="2">
        <v>2.0</v>
      </c>
      <c r="C20" s="2">
        <v>6.0</v>
      </c>
      <c r="D20" s="2">
        <v>5.0</v>
      </c>
    </row>
    <row r="21">
      <c r="A21" s="2">
        <f t="shared" si="1"/>
        <v>20</v>
      </c>
      <c r="B21" s="2">
        <v>1.0</v>
      </c>
      <c r="C21" s="2">
        <v>2.0</v>
      </c>
      <c r="D21" s="2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3" max="3" width="13.63"/>
  </cols>
  <sheetData>
    <row r="1">
      <c r="A1" s="3" t="s">
        <v>4</v>
      </c>
      <c r="B1" s="2" t="s">
        <v>2</v>
      </c>
      <c r="C1" s="4">
        <f>SUM(Dados!C2:C21)/Dados!A21</f>
        <v>14.95</v>
      </c>
    </row>
    <row r="2">
      <c r="A2" s="3" t="s">
        <v>4</v>
      </c>
      <c r="B2" s="2" t="s">
        <v>1</v>
      </c>
      <c r="C2" s="4">
        <f>SUM(Dados!B1:B22)/Dados!A20</f>
        <v>10.26315789</v>
      </c>
    </row>
    <row r="3">
      <c r="A3" s="3" t="s">
        <v>4</v>
      </c>
      <c r="B3" s="5" t="s">
        <v>3</v>
      </c>
      <c r="C3" s="4">
        <f>SUM(Dados!D23:DA1001)/Dados!A20</f>
        <v>0</v>
      </c>
    </row>
    <row r="4">
      <c r="A4" s="3" t="s">
        <v>5</v>
      </c>
      <c r="B4" s="2" t="s">
        <v>2</v>
      </c>
      <c r="C4" s="4">
        <f>median(Dados!C2:C21)</f>
        <v>8</v>
      </c>
    </row>
    <row r="5">
      <c r="A5" s="3" t="s">
        <v>5</v>
      </c>
      <c r="B5" s="2" t="s">
        <v>1</v>
      </c>
      <c r="C5" s="4">
        <f>median(Dados!B2:B21)</f>
        <v>5</v>
      </c>
    </row>
    <row r="6">
      <c r="A6" s="3" t="s">
        <v>5</v>
      </c>
      <c r="B6" s="5" t="s">
        <v>3</v>
      </c>
      <c r="C6" s="4">
        <f>median(Dados!D1:D22)</f>
        <v>2</v>
      </c>
    </row>
    <row r="7">
      <c r="A7" s="3" t="s">
        <v>6</v>
      </c>
      <c r="B7" s="2" t="s">
        <v>2</v>
      </c>
      <c r="C7" s="4">
        <f>_xlfn.STDEV.P(Dados!C2:C20)</f>
        <v>25.59854134</v>
      </c>
    </row>
    <row r="10">
      <c r="A10" s="2" t="s">
        <v>7</v>
      </c>
      <c r="D10" s="2" t="s">
        <v>8</v>
      </c>
    </row>
    <row r="12">
      <c r="A12" s="2" t="s">
        <v>9</v>
      </c>
      <c r="D12" s="2" t="s">
        <v>10</v>
      </c>
    </row>
    <row r="14">
      <c r="A14" s="2" t="s">
        <v>11</v>
      </c>
    </row>
    <row r="15">
      <c r="A15" s="3" t="s">
        <v>12</v>
      </c>
      <c r="B15" s="6">
        <f>COUNTIF(Dados!B2:B21,"&gt;=3")</f>
        <v>15</v>
      </c>
    </row>
    <row r="16">
      <c r="A16" s="3" t="s">
        <v>13</v>
      </c>
      <c r="B16" s="7">
        <f>B15/20</f>
        <v>0.75</v>
      </c>
    </row>
    <row r="17">
      <c r="A17" s="3" t="s">
        <v>14</v>
      </c>
      <c r="B17" s="8">
        <f>1-B16</f>
        <v>0.25</v>
      </c>
    </row>
    <row r="19">
      <c r="A19" s="2" t="s">
        <v>15</v>
      </c>
    </row>
    <row r="21">
      <c r="A21" s="2" t="s">
        <v>16</v>
      </c>
    </row>
    <row r="23">
      <c r="A23" s="2" t="s">
        <v>17</v>
      </c>
    </row>
    <row r="25">
      <c r="A25" s="2" t="s">
        <v>18</v>
      </c>
      <c r="B25" s="2" t="s">
        <v>19</v>
      </c>
      <c r="C25" s="2" t="s">
        <v>20</v>
      </c>
    </row>
    <row r="26">
      <c r="C26" s="2" t="s">
        <v>21</v>
      </c>
    </row>
    <row r="27">
      <c r="C27" s="2" t="s">
        <v>22</v>
      </c>
    </row>
    <row r="28">
      <c r="C28" s="2" t="s">
        <v>23</v>
      </c>
    </row>
    <row r="29">
      <c r="A29" s="2" t="s">
        <v>24</v>
      </c>
    </row>
    <row r="30">
      <c r="B30" s="2" t="s">
        <v>19</v>
      </c>
      <c r="C30" s="2" t="s">
        <v>25</v>
      </c>
    </row>
    <row r="31">
      <c r="C31" s="2" t="s">
        <v>26</v>
      </c>
    </row>
    <row r="32">
      <c r="C32" s="2" t="s">
        <v>27</v>
      </c>
    </row>
    <row r="33">
      <c r="C33" s="2" t="s">
        <v>28</v>
      </c>
    </row>
    <row r="34">
      <c r="C34" s="2" t="s">
        <v>29</v>
      </c>
    </row>
    <row r="35">
      <c r="C35" s="2" t="s">
        <v>30</v>
      </c>
    </row>
    <row r="36">
      <c r="A36" s="2" t="s">
        <v>31</v>
      </c>
    </row>
    <row r="37">
      <c r="B37" s="2" t="s">
        <v>32</v>
      </c>
    </row>
    <row r="38">
      <c r="B38" s="2" t="s">
        <v>19</v>
      </c>
      <c r="C38" s="2" t="s">
        <v>33</v>
      </c>
    </row>
    <row r="39">
      <c r="C39" s="2" t="s">
        <v>34</v>
      </c>
    </row>
    <row r="40">
      <c r="C40" s="2" t="s">
        <v>28</v>
      </c>
    </row>
    <row r="41">
      <c r="C41" s="2" t="s">
        <v>35</v>
      </c>
    </row>
    <row r="42">
      <c r="C42" s="2" t="s">
        <v>36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